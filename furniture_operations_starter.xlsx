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9202dafacb41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b5a9b5dcbff24715"/>
    <x:sheet xmlns:r="http://schemas.openxmlformats.org/officeDocument/2006/relationships" name="Materials" sheetId="2" r:id="R150215f6ba674019"/>
    <x:sheet xmlns:r="http://schemas.openxmlformats.org/officeDocument/2006/relationships" name="Components" sheetId="3" r:id="R99c910bf9592465c"/>
    <x:sheet xmlns:r="http://schemas.openxmlformats.org/officeDocument/2006/relationships" name="Labour Rates" sheetId="4" r:id="Red04007e0c67418f"/>
    <x:sheet xmlns:r="http://schemas.openxmlformats.org/officeDocument/2006/relationships" name="Material Usage" sheetId="5" r:id="Rdc592c2a8c044c81"/>
    <x:sheet xmlns:r="http://schemas.openxmlformats.org/officeDocument/2006/relationships" name="Component Usage" sheetId="6" r:id="Rcfe82261d8e84070"/>
    <x:sheet xmlns:r="http://schemas.openxmlformats.org/officeDocument/2006/relationships" name="Dashboard" sheetId="7" r:id="R3a7c2ab04edb4b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&quot;C$&quot;#,##0"/>
    <x:numFmt numFmtId="202" formatCode="&quot;C$&quot;#,##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7A8B"/>
      </x:patternFill>
    </x:fill>
    <x:fill>
      <x:patternFill patternType="solid">
        <x:fgColor rgb="FF17324D"/>
      </x:patternFill>
    </x:fill>
    <x:fill>
      <x:patternFill patternType="solid">
        <x:fgColor rgb="FFEAF3F5"/>
      </x:patternFill>
    </x:fill>
  </x:fills>
  <x:borders count="10">
    <x:border/>
    <x:border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bottom style="thin">
        <x:color rgb="FFD9E2E8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top style="thin">
        <x:color rgb="FFD9E2E8"/>
      </x:top>
      <x:bottom style="thin">
        <x:color rgb="FFD9E2E8"/>
      </x:bottom>
    </x:border>
    <x:border>
      <x:right style="thin">
        <x:color rgb="FFD9E2E8"/>
      </x:right>
      <x:top style="thin">
        <x:color rgb="FFD9E2E8"/>
      </x:top>
    </x:border>
    <x:border>
      <x:left style="thin">
        <x:color rgb="FFD9E2E8"/>
      </x:left>
      <x:right style="thin">
        <x:color rgb="FFD9E2E8"/>
      </x:right>
      <x:top style="thin">
        <x:color rgb="FFD9E2E8"/>
      </x:top>
    </x:border>
    <x:border>
      <x:left style="thin">
        <x:color rgb="FFD9E2E8"/>
      </x:left>
      <x:top style="thin">
        <x:color rgb="FFD9E2E8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5" xfId="0" applyNumberFormat="1" applyFont="1" applyFill="1" applyBorder="1" applyAlignment="1">
      <x:alignment horizontal="center"/>
    </x:xf>
    <x:xf numFmtId="200" fontId="0" fillId="0" borderId="5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ae52bd63fd4e0c" /><Relationship Type="http://schemas.openxmlformats.org/officeDocument/2006/relationships/theme" Target="/xl/theme/theme1.xml" Id="Re321e3ff9ab6491c" /><Relationship Type="http://schemas.openxmlformats.org/officeDocument/2006/relationships/sharedStrings" Target="/xl/sharedStrings.xml" Id="Rd83944269bf54eae" /><Relationship Type="http://schemas.openxmlformats.org/officeDocument/2006/relationships/worksheet" Target="/xl/worksheets/sheet1.xml" Id="Rb5a9b5dcbff24715" /><Relationship Type="http://schemas.openxmlformats.org/officeDocument/2006/relationships/worksheet" Target="/xl/worksheets/sheet2.xml" Id="R150215f6ba674019" /><Relationship Type="http://schemas.openxmlformats.org/officeDocument/2006/relationships/worksheet" Target="/xl/worksheets/sheet3.xml" Id="R99c910bf9592465c" /><Relationship Type="http://schemas.openxmlformats.org/officeDocument/2006/relationships/worksheet" Target="/xl/worksheets/sheet4.xml" Id="Red04007e0c67418f" /><Relationship Type="http://schemas.openxmlformats.org/officeDocument/2006/relationships/worksheet" Target="/xl/worksheets/sheet5.xml" Id="Rdc592c2a8c044c81" /><Relationship Type="http://schemas.openxmlformats.org/officeDocument/2006/relationships/worksheet" Target="/xl/worksheets/sheet6.xml" Id="Rcfe82261d8e84070" /><Relationship Type="http://schemas.openxmlformats.org/officeDocument/2006/relationships/worksheet" Target="/xl/worksheets/sheet7.xml" Id="R3a7c2ab04edb4b2a" /></Relationships>
</file>

<file path=xl/tables/table1.xml><?xml version="1.0" encoding="utf-8"?>
<x:table xmlns:x="http://schemas.openxmlformats.org/spreadsheetml/2006/main" id="1" name="OrdersTable" displayName="OrdersTable" ref="A3:K11" headerRowCount="1" totalsRowCount="0" totalsRowShown="0">
  <x:tableColumns count="11">
    <x:tableColumn id="1" name="Order ID"/>
    <x:tableColumn id="2" name="Order Date"/>
    <x:tableColumn id="3" name="City"/>
    <x:tableColumn id="4" name="Product"/>
    <x:tableColumn id="5" name="Status"/>
    <x:tableColumn id="6" name="Revenue (C$)"/>
    <x:tableColumn id="7" name="Production Hrs"/>
    <x:tableColumn id="8" name="Install Hrs"/>
    <x:tableColumn id="9" name="Delivery Cost (C$)"/>
    <x:tableColumn id="10" name="Repeat Visits"/>
    <x:tableColumn id="11" name="Iss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erialsTable" displayName="MaterialsTable" ref="A3:H13" headerRowCount="1" totalsRowCount="0" totalsRowShown="0">
  <x:tableColumns count="8">
    <x:tableColumn id="1" name="Material ID"/>
    <x:tableColumn id="2" name="Material Name"/>
    <x:tableColumn id="3" name="Unit"/>
    <x:tableColumn id="4" name="Supplier"/>
    <x:tableColumn id="5" name="Unit Cost (C$)"/>
    <x:tableColumn id="6" name="Stock Qty"/>
    <x:tableColumn id="7" name="Reorder Level"/>
    <x:tableColumn id="8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ponentsTable" displayName="ComponentsTable" ref="A3:H13" headerRowCount="1" totalsRowCount="0" totalsRowShown="0">
  <x:tableColumns count="8">
    <x:tableColumn id="1" name="Component ID"/>
    <x:tableColumn id="2" name="Component Name"/>
    <x:tableColumn id="3" name="Unit"/>
    <x:tableColumn id="4" name="Supplier"/>
    <x:tableColumn id="5" name="Unit Cost (C$)"/>
    <x:tableColumn id="6" name="Stock Qty"/>
    <x:tableColumn id="7" name="Reorder Level"/>
    <x:tableColumn id="8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abourRatesTable" displayName="LabourRatesTable" ref="A3:C5" headerRowCount="1" totalsRowCount="0" totalsRowShown="0">
  <x:tableColumns count="3">
    <x:tableColumn id="1" name="Work Type"/>
    <x:tableColumn id="2" name="Hourly Rate (C$)"/>
    <x:tableColumn id="3" name="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terialUsageTable" displayName="MaterialUsageTable" ref="A3:C30" headerRowCount="1" totalsRowCount="0" totalsRowShown="0">
  <x:tableColumns count="3">
    <x:tableColumn id="1" name="Order ID"/>
    <x:tableColumn id="2" name="Material ID"/>
    <x:tableColumn id="3" name="Quantity Us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mponentUsageTable" displayName="ComponentUsageTable" ref="A3:C45" headerRowCount="1" totalsRowCount="0" totalsRowShown="0">
  <x:tableColumns count="3">
    <x:tableColumn id="1" name="Order ID"/>
    <x:tableColumn id="2" name="Component ID"/>
    <x:tableColumn id="3" name="Quantity Us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e790cc6d44470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b30ab4c5f454c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461eedcaf1e45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b15ed04bcba42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64df68a17c943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18964f574464e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6" hidden="0" customWidth="1"/>
    <x:col min="4" max="4" width="18" hidden="0" customWidth="1"/>
    <x:col min="5" max="5" width="14" hidden="0" customWidth="1"/>
    <x:col min="6" max="6" width="16" hidden="0" customWidth="1"/>
    <x:col min="7" max="7" width="15" hidden="0" customWidth="1"/>
    <x:col min="8" max="8" width="13" hidden="0" customWidth="1"/>
    <x:col min="9" max="9" width="18" hidden="0" customWidth="1"/>
    <x:col min="10" max="10" width="14" hidden="0" customWidth="1"/>
    <x:col min="11" max="11" width="24" hidden="0" customWidth="1"/>
  </x:cols>
  <x:sheetData>
    <x:row r="1" ht="28" customHeight="1">
      <x:c r="A1" s="3" t="str">
        <x:v>Orders — project revenue and delivery</x:v>
      </x:c>
    </x:row>
    <x:row r="3">
      <x:c r="A3" s="16" t="str">
        <x:v>Order ID</x:v>
      </x:c>
      <x:c r="B3" s="16" t="str">
        <x:v>Order Date</x:v>
      </x:c>
      <x:c r="C3" s="16" t="str">
        <x:v>City</x:v>
      </x:c>
      <x:c r="D3" s="16" t="str">
        <x:v>Product</x:v>
      </x:c>
      <x:c r="E3" s="16" t="str">
        <x:v>Status</x:v>
      </x:c>
      <x:c r="F3" s="16" t="str">
        <x:v>Revenue (C$)</x:v>
      </x:c>
      <x:c r="G3" s="16" t="str">
        <x:v>Production Hrs</x:v>
      </x:c>
      <x:c r="H3" s="16" t="str">
        <x:v>Install Hrs</x:v>
      </x:c>
      <x:c r="I3" s="16" t="str">
        <x:v>Delivery Cost (C$)</x:v>
      </x:c>
      <x:c r="J3" s="16" t="str">
        <x:v>Repeat Visits</x:v>
      </x:c>
      <x:c r="K3" s="16" t="str">
        <x:v>Issue</x:v>
      </x:c>
    </x:row>
    <x:row r="4">
      <x:c r="A4" s="11" t="str">
        <x:v>ORD-001</x:v>
      </x:c>
      <x:c r="B4" s="17" t="n">
        <x:v>46030</x:v>
      </x:c>
      <x:c r="C4" s="11" t="str">
        <x:v>Vancouver</x:v>
      </x:c>
      <x:c r="D4" s="11" t="str">
        <x:v>Kitchen</x:v>
      </x:c>
      <x:c r="E4" s="11" t="str">
        <x:v>Completed</x:v>
      </x:c>
      <x:c r="F4" s="18" t="n">
        <x:v>12500</x:v>
      </x:c>
      <x:c r="G4" s="11" t="n">
        <x:v>48</x:v>
      </x:c>
      <x:c r="H4" s="11" t="n">
        <x:v>16</x:v>
      </x:c>
      <x:c r="I4" s="18" t="n">
        <x:v>450</x:v>
      </x:c>
      <x:c r="J4" s="11" t="n">
        <x:v>0</x:v>
      </x:c>
      <x:c r="K4" s="11" t="str">
        <x:v>None</x:v>
      </x:c>
    </x:row>
    <x:row r="5">
      <x:c r="A5" s="11" t="str">
        <x:v>ORD-002</x:v>
      </x:c>
      <x:c r="B5" s="17" t="n">
        <x:v>46037</x:v>
      </x:c>
      <x:c r="C5" s="11" t="str">
        <x:v>Richmond</x:v>
      </x:c>
      <x:c r="D5" s="11" t="str">
        <x:v>Walk-in Closet</x:v>
      </x:c>
      <x:c r="E5" s="11" t="str">
        <x:v>Completed</x:v>
      </x:c>
      <x:c r="F5" s="18" t="n">
        <x:v>7200</x:v>
      </x:c>
      <x:c r="G5" s="11" t="n">
        <x:v>28</x:v>
      </x:c>
      <x:c r="H5" s="11" t="n">
        <x:v>10</x:v>
      </x:c>
      <x:c r="I5" s="18" t="n">
        <x:v>260</x:v>
      </x:c>
      <x:c r="J5" s="11" t="n">
        <x:v>0</x:v>
      </x:c>
      <x:c r="K5" s="11" t="str">
        <x:v>None</x:v>
      </x:c>
    </x:row>
    <x:row r="6">
      <x:c r="A6" s="11" t="str">
        <x:v>ORD-003</x:v>
      </x:c>
      <x:c r="B6" s="17" t="n">
        <x:v>46056</x:v>
      </x:c>
      <x:c r="C6" s="11" t="str">
        <x:v>Burnaby</x:v>
      </x:c>
      <x:c r="D6" s="11" t="str">
        <x:v>Bathroom Vanity</x:v>
      </x:c>
      <x:c r="E6" s="11" t="str">
        <x:v>Completed</x:v>
      </x:c>
      <x:c r="F6" s="18" t="n">
        <x:v>3400</x:v>
      </x:c>
      <x:c r="G6" s="11" t="n">
        <x:v>14</x:v>
      </x:c>
      <x:c r="H6" s="11" t="n">
        <x:v>5</x:v>
      </x:c>
      <x:c r="I6" s="18" t="n">
        <x:v>180</x:v>
      </x:c>
      <x:c r="J6" s="11" t="n">
        <x:v>1</x:v>
      </x:c>
      <x:c r="K6" s="11" t="str">
        <x:v>Minor alignment</x:v>
      </x:c>
    </x:row>
    <x:row r="7">
      <x:c r="A7" s="11" t="str">
        <x:v>ORD-004</x:v>
      </x:c>
      <x:c r="B7" s="17" t="n">
        <x:v>46070</x:v>
      </x:c>
      <x:c r="C7" s="11" t="str">
        <x:v>Vancouver</x:v>
      </x:c>
      <x:c r="D7" s="11" t="str">
        <x:v>Kitchen</x:v>
      </x:c>
      <x:c r="E7" s="11" t="str">
        <x:v>Delayed</x:v>
      </x:c>
      <x:c r="F7" s="18" t="n">
        <x:v>15800</x:v>
      </x:c>
      <x:c r="G7" s="11" t="n">
        <x:v>56</x:v>
      </x:c>
      <x:c r="H7" s="11" t="n">
        <x:v>18</x:v>
      </x:c>
      <x:c r="I7" s="18" t="n">
        <x:v>520</x:v>
      </x:c>
      <x:c r="J7" s="11" t="n">
        <x:v>1</x:v>
      </x:c>
      <x:c r="K7" s="11" t="str">
        <x:v>Countertop delay</x:v>
      </x:c>
    </x:row>
    <x:row r="8">
      <x:c r="A8" s="11" t="str">
        <x:v>ORD-005</x:v>
      </x:c>
      <x:c r="B8" s="17" t="n">
        <x:v>46083</x:v>
      </x:c>
      <x:c r="C8" s="11" t="str">
        <x:v>Surrey</x:v>
      </x:c>
      <x:c r="D8" s="11" t="str">
        <x:v>Media Wall</x:v>
      </x:c>
      <x:c r="E8" s="11" t="str">
        <x:v>Completed</x:v>
      </x:c>
      <x:c r="F8" s="18" t="n">
        <x:v>6200</x:v>
      </x:c>
      <x:c r="G8" s="11" t="n">
        <x:v>25</x:v>
      </x:c>
      <x:c r="H8" s="11" t="n">
        <x:v>9</x:v>
      </x:c>
      <x:c r="I8" s="18" t="n">
        <x:v>300</x:v>
      </x:c>
      <x:c r="J8" s="11" t="n">
        <x:v>0</x:v>
      </x:c>
      <x:c r="K8" s="11" t="str">
        <x:v>None</x:v>
      </x:c>
    </x:row>
    <x:row r="9">
      <x:c r="A9" s="11" t="str">
        <x:v>ORD-006</x:v>
      </x:c>
      <x:c r="B9" s="17" t="n">
        <x:v>46100</x:v>
      </x:c>
      <x:c r="C9" s="11" t="str">
        <x:v>Richmond</x:v>
      </x:c>
      <x:c r="D9" s="11" t="str">
        <x:v>Reach-in Closet</x:v>
      </x:c>
      <x:c r="E9" s="11" t="str">
        <x:v>Completed</x:v>
      </x:c>
      <x:c r="F9" s="18" t="n">
        <x:v>4900</x:v>
      </x:c>
      <x:c r="G9" s="11" t="n">
        <x:v>20</x:v>
      </x:c>
      <x:c r="H9" s="11" t="n">
        <x:v>7</x:v>
      </x:c>
      <x:c r="I9" s="18" t="n">
        <x:v>220</x:v>
      </x:c>
      <x:c r="J9" s="11" t="n">
        <x:v>0</x:v>
      </x:c>
      <x:c r="K9" s="11" t="str">
        <x:v>None</x:v>
      </x:c>
    </x:row>
    <x:row r="10">
      <x:c r="A10" s="11" t="str">
        <x:v>ORD-007</x:v>
      </x:c>
      <x:c r="B10" s="17" t="n">
        <x:v>46116</x:v>
      </x:c>
      <x:c r="C10" s="11" t="str">
        <x:v>Vancouver</x:v>
      </x:c>
      <x:c r="D10" s="11" t="str">
        <x:v>Kitchen</x:v>
      </x:c>
      <x:c r="E10" s="11" t="str">
        <x:v>Completed</x:v>
      </x:c>
      <x:c r="F10" s="18" t="n">
        <x:v>10900</x:v>
      </x:c>
      <x:c r="G10" s="11" t="n">
        <x:v>43</x:v>
      </x:c>
      <x:c r="H10" s="11" t="n">
        <x:v>14</x:v>
      </x:c>
      <x:c r="I10" s="18" t="n">
        <x:v>390</x:v>
      </x:c>
      <x:c r="J10" s="11" t="n">
        <x:v>0</x:v>
      </x:c>
      <x:c r="K10" s="11" t="str">
        <x:v>None</x:v>
      </x:c>
    </x:row>
    <x:row r="11">
      <x:c r="A11" s="11" t="str">
        <x:v>ORD-008</x:v>
      </x:c>
      <x:c r="B11" s="17" t="n">
        <x:v>46134</x:v>
      </x:c>
      <x:c r="C11" s="11" t="str">
        <x:v>New Westminster</x:v>
      </x:c>
      <x:c r="D11" s="11" t="str">
        <x:v>Home Office</x:v>
      </x:c>
      <x:c r="E11" s="11" t="str">
        <x:v>Completed</x:v>
      </x:c>
      <x:c r="F11" s="18" t="n">
        <x:v>5400</x:v>
      </x:c>
      <x:c r="G11" s="11" t="n">
        <x:v>22</x:v>
      </x:c>
      <x:c r="H11" s="11" t="n">
        <x:v>8</x:v>
      </x:c>
      <x:c r="I11" s="18" t="n">
        <x:v>240</x:v>
      </x:c>
      <x:c r="J11" s="11" t="n">
        <x:v>0</x:v>
      </x:c>
      <x:c r="K11" s="11" t="str">
        <x:v>None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6e790cc6d44470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1" hidden="0" customWidth="1"/>
    <x:col min="3" max="3" width="12" hidden="0" customWidth="1"/>
    <x:col min="4" max="4" width="22" hidden="0" customWidth="1"/>
    <x:col min="5" max="5" width="15" hidden="0" customWidth="1"/>
    <x:col min="6" max="6" width="14" hidden="0" customWidth="1"/>
    <x:col min="7" max="7" width="16" hidden="0" customWidth="1"/>
    <x:col min="8" max="8" width="12" hidden="0" customWidth="1"/>
  </x:cols>
  <x:sheetData>
    <x:row r="1" ht="28" customHeight="1">
      <x:c r="A1" s="3" t="str">
        <x:v>Materials — sheets, surfaces, edge banding and glass</x:v>
      </x:c>
    </x:row>
    <x:row r="3">
      <x:c r="A3" s="16" t="str">
        <x:v>Material ID</x:v>
      </x:c>
      <x:c r="B3" s="16" t="str">
        <x:v>Material Name</x:v>
      </x:c>
      <x:c r="C3" s="16" t="str">
        <x:v>Unit</x:v>
      </x:c>
      <x:c r="D3" s="16" t="str">
        <x:v>Supplier</x:v>
      </x:c>
      <x:c r="E3" s="16" t="str">
        <x:v>Unit Cost (C$)</x:v>
      </x:c>
      <x:c r="F3" s="16" t="str">
        <x:v>Stock Qty</x:v>
      </x:c>
      <x:c r="G3" s="16" t="str">
        <x:v>Reorder Level</x:v>
      </x:c>
      <x:c r="H3" s="16" t="str">
        <x:v>Status</x:v>
      </x:c>
    </x:row>
    <x:row r="4">
      <x:c r="A4" s="11" t="str">
        <x:v>MAT-001</x:v>
      </x:c>
      <x:c r="B4" s="11" t="str">
        <x:v>White Melamine Board 18mm</x:v>
      </x:c>
      <x:c r="C4" s="11" t="str">
        <x:v>Sheet</x:v>
      </x:c>
      <x:c r="D4" s="11" t="str">
        <x:v>Sustainable Panels</x:v>
      </x:c>
      <x:c r="E4" s="19" t="n">
        <x:v>85</x:v>
      </x:c>
      <x:c r="F4" s="11" t="n">
        <x:v>24</x:v>
      </x:c>
      <x:c r="G4" s="11" t="n">
        <x:v>8</x:v>
      </x:c>
      <x:c r="H4" s="11" t="str">
        <x:v>Active</x:v>
      </x:c>
    </x:row>
    <x:row r="5">
      <x:c r="A5" s="11" t="str">
        <x:v>MAT-002</x:v>
      </x:c>
      <x:c r="B5" s="11" t="str">
        <x:v>Oak Veneer MDF 18mm</x:v>
      </x:c>
      <x:c r="C5" s="11" t="str">
        <x:v>Sheet</x:v>
      </x:c>
      <x:c r="D5" s="11" t="str">
        <x:v>WoodCraft Supply</x:v>
      </x:c>
      <x:c r="E5" s="19" t="n">
        <x:v>140</x:v>
      </x:c>
      <x:c r="F5" s="11" t="n">
        <x:v>12</x:v>
      </x:c>
      <x:c r="G5" s="11" t="n">
        <x:v>4</x:v>
      </x:c>
      <x:c r="H5" s="11" t="str">
        <x:v>Active</x:v>
      </x:c>
    </x:row>
    <x:row r="6">
      <x:c r="A6" s="11" t="str">
        <x:v>MAT-003</x:v>
      </x:c>
      <x:c r="B6" s="11" t="str">
        <x:v>Moisture Resistant MDF 18mm</x:v>
      </x:c>
      <x:c r="C6" s="11" t="str">
        <x:v>Sheet</x:v>
      </x:c>
      <x:c r="D6" s="11" t="str">
        <x:v>WoodCraft Supply</x:v>
      </x:c>
      <x:c r="E6" s="19" t="n">
        <x:v>115</x:v>
      </x:c>
      <x:c r="F6" s="11" t="n">
        <x:v>10</x:v>
      </x:c>
      <x:c r="G6" s="11" t="n">
        <x:v>4</x:v>
      </x:c>
      <x:c r="H6" s="11" t="str">
        <x:v>Active</x:v>
      </x:c>
    </x:row>
    <x:row r="7">
      <x:c r="A7" s="11" t="str">
        <x:v>MAT-004</x:v>
      </x:c>
      <x:c r="B7" s="11" t="str">
        <x:v>Quartz Countertop</x:v>
      </x:c>
      <x:c r="C7" s="11" t="str">
        <x:v>sq ft</x:v>
      </x:c>
      <x:c r="D7" s="11" t="str">
        <x:v>StoneWorks</x:v>
      </x:c>
      <x:c r="E7" s="19" t="n">
        <x:v>68</x:v>
      </x:c>
      <x:c r="F7" s="11" t="n">
        <x:v>95</x:v>
      </x:c>
      <x:c r="G7" s="11" t="n">
        <x:v>30</x:v>
      </x:c>
      <x:c r="H7" s="11" t="str">
        <x:v>Active</x:v>
      </x:c>
    </x:row>
    <x:row r="8">
      <x:c r="A8" s="11" t="str">
        <x:v>MAT-005</x:v>
      </x:c>
      <x:c r="B8" s="11" t="str">
        <x:v>PVC Edge Band White 22mm</x:v>
      </x:c>
      <x:c r="C8" s="11" t="str">
        <x:v>m</x:v>
      </x:c>
      <x:c r="D8" s="11" t="str">
        <x:v>EdgePro</x:v>
      </x:c>
      <x:c r="E8" s="19" t="n">
        <x:v>0.42</x:v>
      </x:c>
      <x:c r="F8" s="11" t="n">
        <x:v>420</x:v>
      </x:c>
      <x:c r="G8" s="11" t="n">
        <x:v>150</x:v>
      </x:c>
      <x:c r="H8" s="11" t="str">
        <x:v>Active</x:v>
      </x:c>
    </x:row>
    <x:row r="9">
      <x:c r="A9" s="11" t="str">
        <x:v>MAT-006</x:v>
      </x:c>
      <x:c r="B9" s="11" t="str">
        <x:v>PVC Edge Band Oak 22mm</x:v>
      </x:c>
      <x:c r="C9" s="11" t="str">
        <x:v>m</x:v>
      </x:c>
      <x:c r="D9" s="11" t="str">
        <x:v>EdgePro</x:v>
      </x:c>
      <x:c r="E9" s="19" t="n">
        <x:v>0.68</x:v>
      </x:c>
      <x:c r="F9" s="11" t="n">
        <x:v>210</x:v>
      </x:c>
      <x:c r="G9" s="11" t="n">
        <x:v>80</x:v>
      </x:c>
      <x:c r="H9" s="11" t="str">
        <x:v>Active</x:v>
      </x:c>
    </x:row>
    <x:row r="10">
      <x:c r="A10" s="11" t="str">
        <x:v>MAT-007</x:v>
      </x:c>
      <x:c r="B10" s="11" t="str">
        <x:v>Clear Tempered Glass 6mm</x:v>
      </x:c>
      <x:c r="C10" s="11" t="str">
        <x:v>sq ft</x:v>
      </x:c>
      <x:c r="D10" s="11" t="str">
        <x:v>GlassLine</x:v>
      </x:c>
      <x:c r="E10" s="19" t="n">
        <x:v>18</x:v>
      </x:c>
      <x:c r="F10" s="11" t="n">
        <x:v>42</x:v>
      </x:c>
      <x:c r="G10" s="11" t="n">
        <x:v>15</x:v>
      </x:c>
      <x:c r="H10" s="11" t="str">
        <x:v>Active</x:v>
      </x:c>
    </x:row>
    <x:row r="11">
      <x:c r="A11" s="11" t="str">
        <x:v>MAT-008</x:v>
      </x:c>
      <x:c r="B11" s="11" t="str">
        <x:v>Matte White Acrylic Front</x:v>
      </x:c>
      <x:c r="C11" s="11" t="str">
        <x:v>sq ft</x:v>
      </x:c>
      <x:c r="D11" s="11" t="str">
        <x:v>FrontLine</x:v>
      </x:c>
      <x:c r="E11" s="19" t="n">
        <x:v>22</x:v>
      </x:c>
      <x:c r="F11" s="11" t="n">
        <x:v>160</x:v>
      </x:c>
      <x:c r="G11" s="11" t="n">
        <x:v>60</x:v>
      </x:c>
      <x:c r="H11" s="11" t="str">
        <x:v>Active</x:v>
      </x:c>
    </x:row>
    <x:row r="12">
      <x:c r="A12" s="11" t="str">
        <x:v>MAT-009</x:v>
      </x:c>
      <x:c r="B12" s="11" t="str">
        <x:v>Oak Laminate Front</x:v>
      </x:c>
      <x:c r="C12" s="11" t="str">
        <x:v>sq ft</x:v>
      </x:c>
      <x:c r="D12" s="11" t="str">
        <x:v>FrontLine</x:v>
      </x:c>
      <x:c r="E12" s="19" t="n">
        <x:v>19</x:v>
      </x:c>
      <x:c r="F12" s="11" t="n">
        <x:v>110</x:v>
      </x:c>
      <x:c r="G12" s="11" t="n">
        <x:v>45</x:v>
      </x:c>
      <x:c r="H12" s="11" t="str">
        <x:v>Active</x:v>
      </x:c>
    </x:row>
    <x:row r="13">
      <x:c r="A13" s="11" t="str">
        <x:v>MAT-010</x:v>
      </x:c>
      <x:c r="B13" s="11" t="str">
        <x:v>Plywood 12mm</x:v>
      </x:c>
      <x:c r="C13" s="11" t="str">
        <x:v>Sheet</x:v>
      </x:c>
      <x:c r="D13" s="11" t="str">
        <x:v>Sustainable Panels</x:v>
      </x:c>
      <x:c r="E13" s="19" t="n">
        <x:v>72</x:v>
      </x:c>
      <x:c r="F13" s="11" t="n">
        <x:v>18</x:v>
      </x:c>
      <x:c r="G13" s="11" t="n">
        <x:v>6</x:v>
      </x:c>
      <x:c r="H13" s="11" t="str">
        <x:v>Active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b30ab4c5f454c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12" hidden="0" customWidth="1"/>
    <x:col min="4" max="4" width="18" hidden="0" customWidth="1"/>
    <x:col min="5" max="5" width="15" hidden="0" customWidth="1"/>
    <x:col min="6" max="6" width="14" hidden="0" customWidth="1"/>
    <x:col min="7" max="7" width="16" hidden="0" customWidth="1"/>
    <x:col min="8" max="8" width="12" hidden="0" customWidth="1"/>
  </x:cols>
  <x:sheetData>
    <x:row r="1" ht="28" customHeight="1">
      <x:c r="A1" s="3" t="str">
        <x:v>Components — hardware and installation fittings</x:v>
      </x:c>
    </x:row>
    <x:row r="3">
      <x:c r="A3" s="16" t="str">
        <x:v>Component ID</x:v>
      </x:c>
      <x:c r="B3" s="16" t="str">
        <x:v>Component Name</x:v>
      </x:c>
      <x:c r="C3" s="16" t="str">
        <x:v>Unit</x:v>
      </x:c>
      <x:c r="D3" s="16" t="str">
        <x:v>Supplier</x:v>
      </x:c>
      <x:c r="E3" s="16" t="str">
        <x:v>Unit Cost (C$)</x:v>
      </x:c>
      <x:c r="F3" s="16" t="str">
        <x:v>Stock Qty</x:v>
      </x:c>
      <x:c r="G3" s="16" t="str">
        <x:v>Reorder Level</x:v>
      </x:c>
      <x:c r="H3" s="16" t="str">
        <x:v>Status</x:v>
      </x:c>
    </x:row>
    <x:row r="4">
      <x:c r="A4" s="11" t="str">
        <x:v>COM-001</x:v>
      </x:c>
      <x:c r="B4" s="11" t="str">
        <x:v>Soft-close Hinge 110°</x:v>
      </x:c>
      <x:c r="C4" s="11" t="str">
        <x:v>pcs</x:v>
      </x:c>
      <x:c r="D4" s="11" t="str">
        <x:v>Blum</x:v>
      </x:c>
      <x:c r="E4" s="19" t="n">
        <x:v>4.8</x:v>
      </x:c>
      <x:c r="F4" s="11" t="n">
        <x:v>240</x:v>
      </x:c>
      <x:c r="G4" s="11" t="n">
        <x:v>80</x:v>
      </x:c>
      <x:c r="H4" s="11" t="str">
        <x:v>Active</x:v>
      </x:c>
    </x:row>
    <x:row r="5">
      <x:c r="A5" s="11" t="str">
        <x:v>COM-002</x:v>
      </x:c>
      <x:c r="B5" s="11" t="str">
        <x:v>Drawer Runner 500mm</x:v>
      </x:c>
      <x:c r="C5" s="11" t="str">
        <x:v>pair</x:v>
      </x:c>
      <x:c r="D5" s="11" t="str">
        <x:v>Blum</x:v>
      </x:c>
      <x:c r="E5" s="19" t="n">
        <x:v>38</x:v>
      </x:c>
      <x:c r="F5" s="11" t="n">
        <x:v>48</x:v>
      </x:c>
      <x:c r="G5" s="11" t="n">
        <x:v>16</x:v>
      </x:c>
      <x:c r="H5" s="11" t="str">
        <x:v>Active</x:v>
      </x:c>
    </x:row>
    <x:row r="6">
      <x:c r="A6" s="11" t="str">
        <x:v>COM-003</x:v>
      </x:c>
      <x:c r="B6" s="11" t="str">
        <x:v>Matte Black Handle 160mm</x:v>
      </x:c>
      <x:c r="C6" s="11" t="str">
        <x:v>pcs</x:v>
      </x:c>
      <x:c r="D6" s="11" t="str">
        <x:v>Hettich</x:v>
      </x:c>
      <x:c r="E6" s="19" t="n">
        <x:v>9.5</x:v>
      </x:c>
      <x:c r="F6" s="11" t="n">
        <x:v>95</x:v>
      </x:c>
      <x:c r="G6" s="11" t="n">
        <x:v>30</x:v>
      </x:c>
      <x:c r="H6" s="11" t="str">
        <x:v>Active</x:v>
      </x:c>
    </x:row>
    <x:row r="7">
      <x:c r="A7" s="11" t="str">
        <x:v>COM-004</x:v>
      </x:c>
      <x:c r="B7" s="11" t="str">
        <x:v>Push-to-open Latch</x:v>
      </x:c>
      <x:c r="C7" s="11" t="str">
        <x:v>pcs</x:v>
      </x:c>
      <x:c r="D7" s="11" t="str">
        <x:v>Hettich</x:v>
      </x:c>
      <x:c r="E7" s="19" t="n">
        <x:v>7.2</x:v>
      </x:c>
      <x:c r="F7" s="11" t="n">
        <x:v>70</x:v>
      </x:c>
      <x:c r="G7" s="11" t="n">
        <x:v>25</x:v>
      </x:c>
      <x:c r="H7" s="11" t="str">
        <x:v>Active</x:v>
      </x:c>
    </x:row>
    <x:row r="8">
      <x:c r="A8" s="11" t="str">
        <x:v>COM-005</x:v>
      </x:c>
      <x:c r="B8" s="11" t="str">
        <x:v>Adjustable Cabinet Leg</x:v>
      </x:c>
      <x:c r="C8" s="11" t="str">
        <x:v>pcs</x:v>
      </x:c>
      <x:c r="D8" s="11" t="str">
        <x:v>Richelieu</x:v>
      </x:c>
      <x:c r="E8" s="19" t="n">
        <x:v>3.5</x:v>
      </x:c>
      <x:c r="F8" s="11" t="n">
        <x:v>160</x:v>
      </x:c>
      <x:c r="G8" s="11" t="n">
        <x:v>50</x:v>
      </x:c>
      <x:c r="H8" s="11" t="str">
        <x:v>Active</x:v>
      </x:c>
    </x:row>
    <x:row r="9">
      <x:c r="A9" s="11" t="str">
        <x:v>COM-006</x:v>
      </x:c>
      <x:c r="B9" s="11" t="str">
        <x:v>Under-cabinet LED Strip</x:v>
      </x:c>
      <x:c r="C9" s="11" t="str">
        <x:v>m</x:v>
      </x:c>
      <x:c r="D9" s="11" t="str">
        <x:v>Lumina</x:v>
      </x:c>
      <x:c r="E9" s="19" t="n">
        <x:v>16</x:v>
      </x:c>
      <x:c r="F9" s="11" t="n">
        <x:v>54</x:v>
      </x:c>
      <x:c r="G9" s="11" t="n">
        <x:v>20</x:v>
      </x:c>
      <x:c r="H9" s="11" t="str">
        <x:v>Active</x:v>
      </x:c>
    </x:row>
    <x:row r="10">
      <x:c r="A10" s="11" t="str">
        <x:v>COM-007</x:v>
      </x:c>
      <x:c r="B10" s="11" t="str">
        <x:v>Wardrobe Rail 1000mm</x:v>
      </x:c>
      <x:c r="C10" s="11" t="str">
        <x:v>pcs</x:v>
      </x:c>
      <x:c r="D10" s="11" t="str">
        <x:v>Richelieu</x:v>
      </x:c>
      <x:c r="E10" s="19" t="n">
        <x:v>14</x:v>
      </x:c>
      <x:c r="F10" s="11" t="n">
        <x:v>32</x:v>
      </x:c>
      <x:c r="G10" s="11" t="n">
        <x:v>12</x:v>
      </x:c>
      <x:c r="H10" s="11" t="str">
        <x:v>Active</x:v>
      </x:c>
    </x:row>
    <x:row r="11">
      <x:c r="A11" s="11" t="str">
        <x:v>COM-008</x:v>
      </x:c>
      <x:c r="B11" s="11" t="str">
        <x:v>Shelf Support Pin</x:v>
      </x:c>
      <x:c r="C11" s="11" t="str">
        <x:v>pcs</x:v>
      </x:c>
      <x:c r="D11" s="11" t="str">
        <x:v>Richelieu</x:v>
      </x:c>
      <x:c r="E11" s="19" t="n">
        <x:v>0.35</x:v>
      </x:c>
      <x:c r="F11" s="11" t="n">
        <x:v>500</x:v>
      </x:c>
      <x:c r="G11" s="11" t="n">
        <x:v>200</x:v>
      </x:c>
      <x:c r="H11" s="11" t="str">
        <x:v>Active</x:v>
      </x:c>
    </x:row>
    <x:row r="12">
      <x:c r="A12" s="11" t="str">
        <x:v>COM-009</x:v>
      </x:c>
      <x:c r="B12" s="11" t="str">
        <x:v>Wall Mounting Bracket</x:v>
      </x:c>
      <x:c r="C12" s="11" t="str">
        <x:v>pcs</x:v>
      </x:c>
      <x:c r="D12" s="11" t="str">
        <x:v>FixPro</x:v>
      </x:c>
      <x:c r="E12" s="19" t="n">
        <x:v>5.6</x:v>
      </x:c>
      <x:c r="F12" s="11" t="n">
        <x:v>85</x:v>
      </x:c>
      <x:c r="G12" s="11" t="n">
        <x:v>30</x:v>
      </x:c>
      <x:c r="H12" s="11" t="str">
        <x:v>Active</x:v>
      </x:c>
    </x:row>
    <x:row r="13">
      <x:c r="A13" s="11" t="str">
        <x:v>COM-010</x:v>
      </x:c>
      <x:c r="B13" s="11" t="str">
        <x:v>Wood Screw 4x40</x:v>
      </x:c>
      <x:c r="C13" s="11" t="str">
        <x:v>box</x:v>
      </x:c>
      <x:c r="D13" s="11" t="str">
        <x:v>FixPro</x:v>
      </x:c>
      <x:c r="E13" s="19" t="n">
        <x:v>18</x:v>
      </x:c>
      <x:c r="F13" s="11" t="n">
        <x:v>42</x:v>
      </x:c>
      <x:c r="G13" s="11" t="n">
        <x:v>15</x:v>
      </x:c>
      <x:c r="H13" s="11" t="str">
        <x:v>Active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4461eedcaf1e450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42" hidden="0" customWidth="1"/>
  </x:cols>
  <x:sheetData>
    <x:row r="1" ht="28" customHeight="1">
      <x:c r="A1" s="3" t="str">
        <x:v>Labour Rates — editable cost assumptions</x:v>
      </x:c>
    </x:row>
    <x:row r="3">
      <x:c r="A3" s="16" t="str">
        <x:v>Work Type</x:v>
      </x:c>
      <x:c r="B3" s="16" t="str">
        <x:v>Hourly Rate (C$)</x:v>
      </x:c>
      <x:c r="C3" s="16" t="str">
        <x:v>Note</x:v>
      </x:c>
    </x:row>
    <x:row r="4">
      <x:c r="A4" s="11" t="str">
        <x:v>Production</x:v>
      </x:c>
      <x:c r="B4" s="19" t="n">
        <x:v>30</x:v>
      </x:c>
      <x:c r="C4" s="11" t="str">
        <x:v>Editable default for workshop labour</x:v>
      </x:c>
    </x:row>
    <x:row r="5">
      <x:c r="A5" s="11" t="str">
        <x:v>Installation</x:v>
      </x:c>
      <x:c r="B5" s="19" t="n">
        <x:v>35</x:v>
      </x:c>
      <x:c r="C5" s="11" t="str">
        <x:v>Editable default for on-site installation labour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0b15ed04bcba42e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8" hidden="0" customWidth="1"/>
  </x:cols>
  <x:sheetData>
    <x:row r="1" ht="28" customHeight="1">
      <x:c r="A1" s="3" t="str">
        <x:v>Material Usage — consumption by order</x:v>
      </x:c>
    </x:row>
    <x:row r="3">
      <x:c r="A3" s="16" t="str">
        <x:v>Order ID</x:v>
      </x:c>
      <x:c r="B3" s="16" t="str">
        <x:v>Material ID</x:v>
      </x:c>
      <x:c r="C3" s="16" t="str">
        <x:v>Quantity Used</x:v>
      </x:c>
    </x:row>
    <x:row r="4">
      <x:c r="A4" s="11" t="str">
        <x:v>ORD-001</x:v>
      </x:c>
      <x:c r="B4" s="11" t="str">
        <x:v>MAT-001</x:v>
      </x:c>
      <x:c r="C4" s="11" t="n">
        <x:v>14</x:v>
      </x:c>
    </x:row>
    <x:row r="5">
      <x:c r="A5" s="11" t="str">
        <x:v>ORD-001</x:v>
      </x:c>
      <x:c r="B5" s="11" t="str">
        <x:v>MAT-004</x:v>
      </x:c>
      <x:c r="C5" s="11" t="n">
        <x:v>42</x:v>
      </x:c>
    </x:row>
    <x:row r="6">
      <x:c r="A6" s="11" t="str">
        <x:v>ORD-001</x:v>
      </x:c>
      <x:c r="B6" s="11" t="str">
        <x:v>MAT-005</x:v>
      </x:c>
      <x:c r="C6" s="11" t="n">
        <x:v>105</x:v>
      </x:c>
    </x:row>
    <x:row r="7">
      <x:c r="A7" s="11" t="str">
        <x:v>ORD-001</x:v>
      </x:c>
      <x:c r="B7" s="11" t="str">
        <x:v>MAT-008</x:v>
      </x:c>
      <x:c r="C7" s="11" t="n">
        <x:v>82</x:v>
      </x:c>
    </x:row>
    <x:row r="8">
      <x:c r="A8" s="11" t="str">
        <x:v>ORD-002</x:v>
      </x:c>
      <x:c r="B8" s="11" t="str">
        <x:v>MAT-001</x:v>
      </x:c>
      <x:c r="C8" s="11" t="n">
        <x:v>8</x:v>
      </x:c>
    </x:row>
    <x:row r="9">
      <x:c r="A9" s="11" t="str">
        <x:v>ORD-002</x:v>
      </x:c>
      <x:c r="B9" s="11" t="str">
        <x:v>MAT-006</x:v>
      </x:c>
      <x:c r="C9" s="11" t="n">
        <x:v>60</x:v>
      </x:c>
    </x:row>
    <x:row r="10">
      <x:c r="A10" s="11" t="str">
        <x:v>ORD-002</x:v>
      </x:c>
      <x:c r="B10" s="11" t="str">
        <x:v>MAT-009</x:v>
      </x:c>
      <x:c r="C10" s="11" t="n">
        <x:v>64</x:v>
      </x:c>
    </x:row>
    <x:row r="11">
      <x:c r="A11" s="11" t="str">
        <x:v>ORD-003</x:v>
      </x:c>
      <x:c r="B11" s="11" t="str">
        <x:v>MAT-003</x:v>
      </x:c>
      <x:c r="C11" s="11" t="n">
        <x:v>3</x:v>
      </x:c>
    </x:row>
    <x:row r="12">
      <x:c r="A12" s="11" t="str">
        <x:v>ORD-003</x:v>
      </x:c>
      <x:c r="B12" s="11" t="str">
        <x:v>MAT-004</x:v>
      </x:c>
      <x:c r="C12" s="11" t="n">
        <x:v>18</x:v>
      </x:c>
    </x:row>
    <x:row r="13">
      <x:c r="A13" s="11" t="str">
        <x:v>ORD-003</x:v>
      </x:c>
      <x:c r="B13" s="11" t="str">
        <x:v>MAT-008</x:v>
      </x:c>
      <x:c r="C13" s="11" t="n">
        <x:v>26</x:v>
      </x:c>
    </x:row>
    <x:row r="14">
      <x:c r="A14" s="11" t="str">
        <x:v>ORD-004</x:v>
      </x:c>
      <x:c r="B14" s="11" t="str">
        <x:v>MAT-001</x:v>
      </x:c>
      <x:c r="C14" s="11" t="n">
        <x:v>17</x:v>
      </x:c>
    </x:row>
    <x:row r="15">
      <x:c r="A15" s="11" t="str">
        <x:v>ORD-004</x:v>
      </x:c>
      <x:c r="B15" s="11" t="str">
        <x:v>MAT-004</x:v>
      </x:c>
      <x:c r="C15" s="11" t="n">
        <x:v>56</x:v>
      </x:c>
    </x:row>
    <x:row r="16">
      <x:c r="A16" s="11" t="str">
        <x:v>ORD-004</x:v>
      </x:c>
      <x:c r="B16" s="11" t="str">
        <x:v>MAT-005</x:v>
      </x:c>
      <x:c r="C16" s="11" t="n">
        <x:v>130</x:v>
      </x:c>
    </x:row>
    <x:row r="17">
      <x:c r="A17" s="11" t="str">
        <x:v>ORD-004</x:v>
      </x:c>
      <x:c r="B17" s="11" t="str">
        <x:v>MAT-008</x:v>
      </x:c>
      <x:c r="C17" s="11" t="n">
        <x:v>96</x:v>
      </x:c>
    </x:row>
    <x:row r="18">
      <x:c r="A18" s="11" t="str">
        <x:v>ORD-005</x:v>
      </x:c>
      <x:c r="B18" s="11" t="str">
        <x:v>MAT-002</x:v>
      </x:c>
      <x:c r="C18" s="11" t="n">
        <x:v>6</x:v>
      </x:c>
    </x:row>
    <x:row r="19">
      <x:c r="A19" s="11" t="str">
        <x:v>ORD-005</x:v>
      </x:c>
      <x:c r="B19" s="11" t="str">
        <x:v>MAT-007</x:v>
      </x:c>
      <x:c r="C19" s="11" t="n">
        <x:v>18</x:v>
      </x:c>
    </x:row>
    <x:row r="20">
      <x:c r="A20" s="11" t="str">
        <x:v>ORD-005</x:v>
      </x:c>
      <x:c r="B20" s="11" t="str">
        <x:v>MAT-009</x:v>
      </x:c>
      <x:c r="C20" s="11" t="n">
        <x:v>50</x:v>
      </x:c>
    </x:row>
    <x:row r="21">
      <x:c r="A21" s="11" t="str">
        <x:v>ORD-006</x:v>
      </x:c>
      <x:c r="B21" s="11" t="str">
        <x:v>MAT-001</x:v>
      </x:c>
      <x:c r="C21" s="11" t="n">
        <x:v>5</x:v>
      </x:c>
    </x:row>
    <x:row r="22">
      <x:c r="A22" s="11" t="str">
        <x:v>ORD-006</x:v>
      </x:c>
      <x:c r="B22" s="11" t="str">
        <x:v>MAT-006</x:v>
      </x:c>
      <x:c r="C22" s="11" t="n">
        <x:v>40</x:v>
      </x:c>
    </x:row>
    <x:row r="23">
      <x:c r="A23" s="11" t="str">
        <x:v>ORD-006</x:v>
      </x:c>
      <x:c r="B23" s="11" t="str">
        <x:v>MAT-009</x:v>
      </x:c>
      <x:c r="C23" s="11" t="n">
        <x:v>45</x:v>
      </x:c>
    </x:row>
    <x:row r="24">
      <x:c r="A24" s="11" t="str">
        <x:v>ORD-007</x:v>
      </x:c>
      <x:c r="B24" s="11" t="str">
        <x:v>MAT-001</x:v>
      </x:c>
      <x:c r="C24" s="11" t="n">
        <x:v>12</x:v>
      </x:c>
    </x:row>
    <x:row r="25">
      <x:c r="A25" s="11" t="str">
        <x:v>ORD-007</x:v>
      </x:c>
      <x:c r="B25" s="11" t="str">
        <x:v>MAT-004</x:v>
      </x:c>
      <x:c r="C25" s="11" t="n">
        <x:v>38</x:v>
      </x:c>
    </x:row>
    <x:row r="26">
      <x:c r="A26" s="11" t="str">
        <x:v>ORD-007</x:v>
      </x:c>
      <x:c r="B26" s="11" t="str">
        <x:v>MAT-005</x:v>
      </x:c>
      <x:c r="C26" s="11" t="n">
        <x:v>90</x:v>
      </x:c>
    </x:row>
    <x:row r="27">
      <x:c r="A27" s="11" t="str">
        <x:v>ORD-007</x:v>
      </x:c>
      <x:c r="B27" s="11" t="str">
        <x:v>MAT-008</x:v>
      </x:c>
      <x:c r="C27" s="11" t="n">
        <x:v>70</x:v>
      </x:c>
    </x:row>
    <x:row r="28">
      <x:c r="A28" s="11" t="str">
        <x:v>ORD-008</x:v>
      </x:c>
      <x:c r="B28" s="11" t="str">
        <x:v>MAT-002</x:v>
      </x:c>
      <x:c r="C28" s="11" t="n">
        <x:v>5</x:v>
      </x:c>
    </x:row>
    <x:row r="29">
      <x:c r="A29" s="11" t="str">
        <x:v>ORD-008</x:v>
      </x:c>
      <x:c r="B29" s="11" t="str">
        <x:v>MAT-007</x:v>
      </x:c>
      <x:c r="C29" s="11" t="n">
        <x:v>12</x:v>
      </x:c>
    </x:row>
    <x:row r="30">
      <x:c r="A30" s="11" t="str">
        <x:v>ORD-008</x:v>
      </x:c>
      <x:c r="B30" s="11" t="str">
        <x:v>MAT-010</x:v>
      </x:c>
      <x:c r="C30" s="11" t="n">
        <x:v>3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964df68a17c9437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18" hidden="0" customWidth="1"/>
  </x:cols>
  <x:sheetData>
    <x:row r="1" ht="28" customHeight="1">
      <x:c r="A1" s="3" t="str">
        <x:v>Component Usage — consumption by order</x:v>
      </x:c>
    </x:row>
    <x:row r="3">
      <x:c r="A3" s="16" t="str">
        <x:v>Order ID</x:v>
      </x:c>
      <x:c r="B3" s="16" t="str">
        <x:v>Component ID</x:v>
      </x:c>
      <x:c r="C3" s="16" t="str">
        <x:v>Quantity Used</x:v>
      </x:c>
    </x:row>
    <x:row r="4">
      <x:c r="A4" s="11" t="str">
        <x:v>ORD-001</x:v>
      </x:c>
      <x:c r="B4" s="11" t="str">
        <x:v>COM-001</x:v>
      </x:c>
      <x:c r="C4" s="11" t="n">
        <x:v>22</x:v>
      </x:c>
    </x:row>
    <x:row r="5">
      <x:c r="A5" s="11" t="str">
        <x:v>ORD-001</x:v>
      </x:c>
      <x:c r="B5" s="11" t="str">
        <x:v>COM-002</x:v>
      </x:c>
      <x:c r="C5" s="11" t="n">
        <x:v>8</x:v>
      </x:c>
    </x:row>
    <x:row r="6">
      <x:c r="A6" s="11" t="str">
        <x:v>ORD-001</x:v>
      </x:c>
      <x:c r="B6" s="11" t="str">
        <x:v>COM-003</x:v>
      </x:c>
      <x:c r="C6" s="11" t="n">
        <x:v>18</x:v>
      </x:c>
    </x:row>
    <x:row r="7">
      <x:c r="A7" s="11" t="str">
        <x:v>ORD-001</x:v>
      </x:c>
      <x:c r="B7" s="11" t="str">
        <x:v>COM-005</x:v>
      </x:c>
      <x:c r="C7" s="11" t="n">
        <x:v>12</x:v>
      </x:c>
    </x:row>
    <x:row r="8">
      <x:c r="A8" s="11" t="str">
        <x:v>ORD-001</x:v>
      </x:c>
      <x:c r="B8" s="11" t="str">
        <x:v>COM-006</x:v>
      </x:c>
      <x:c r="C8" s="11" t="n">
        <x:v>6</x:v>
      </x:c>
    </x:row>
    <x:row r="9">
      <x:c r="A9" s="11" t="str">
        <x:v>ORD-001</x:v>
      </x:c>
      <x:c r="B9" s="11" t="str">
        <x:v>COM-009</x:v>
      </x:c>
      <x:c r="C9" s="11" t="n">
        <x:v>8</x:v>
      </x:c>
    </x:row>
    <x:row r="10">
      <x:c r="A10" s="11" t="str">
        <x:v>ORD-001</x:v>
      </x:c>
      <x:c r="B10" s="11" t="str">
        <x:v>COM-010</x:v>
      </x:c>
      <x:c r="C10" s="11" t="n">
        <x:v>2</x:v>
      </x:c>
    </x:row>
    <x:row r="11">
      <x:c r="A11" s="11" t="str">
        <x:v>ORD-002</x:v>
      </x:c>
      <x:c r="B11" s="11" t="str">
        <x:v>COM-001</x:v>
      </x:c>
      <x:c r="C11" s="11" t="n">
        <x:v>12</x:v>
      </x:c>
    </x:row>
    <x:row r="12">
      <x:c r="A12" s="11" t="str">
        <x:v>ORD-002</x:v>
      </x:c>
      <x:c r="B12" s="11" t="str">
        <x:v>COM-002</x:v>
      </x:c>
      <x:c r="C12" s="11" t="n">
        <x:v>6</x:v>
      </x:c>
    </x:row>
    <x:row r="13">
      <x:c r="A13" s="11" t="str">
        <x:v>ORD-002</x:v>
      </x:c>
      <x:c r="B13" s="11" t="str">
        <x:v>COM-007</x:v>
      </x:c>
      <x:c r="C13" s="11" t="n">
        <x:v>3</x:v>
      </x:c>
    </x:row>
    <x:row r="14">
      <x:c r="A14" s="11" t="str">
        <x:v>ORD-002</x:v>
      </x:c>
      <x:c r="B14" s="11" t="str">
        <x:v>COM-008</x:v>
      </x:c>
      <x:c r="C14" s="11" t="n">
        <x:v>28</x:v>
      </x:c>
    </x:row>
    <x:row r="15">
      <x:c r="A15" s="11" t="str">
        <x:v>ORD-002</x:v>
      </x:c>
      <x:c r="B15" s="11" t="str">
        <x:v>COM-009</x:v>
      </x:c>
      <x:c r="C15" s="11" t="n">
        <x:v>6</x:v>
      </x:c>
    </x:row>
    <x:row r="16">
      <x:c r="A16" s="11" t="str">
        <x:v>ORD-003</x:v>
      </x:c>
      <x:c r="B16" s="11" t="str">
        <x:v>COM-001</x:v>
      </x:c>
      <x:c r="C16" s="11" t="n">
        <x:v>6</x:v>
      </x:c>
    </x:row>
    <x:row r="17">
      <x:c r="A17" s="11" t="str">
        <x:v>ORD-003</x:v>
      </x:c>
      <x:c r="B17" s="11" t="str">
        <x:v>COM-003</x:v>
      </x:c>
      <x:c r="C17" s="11" t="n">
        <x:v>5</x:v>
      </x:c>
    </x:row>
    <x:row r="18">
      <x:c r="A18" s="11" t="str">
        <x:v>ORD-003</x:v>
      </x:c>
      <x:c r="B18" s="11" t="str">
        <x:v>COM-005</x:v>
      </x:c>
      <x:c r="C18" s="11" t="n">
        <x:v>4</x:v>
      </x:c>
    </x:row>
    <x:row r="19">
      <x:c r="A19" s="11" t="str">
        <x:v>ORD-003</x:v>
      </x:c>
      <x:c r="B19" s="11" t="str">
        <x:v>COM-009</x:v>
      </x:c>
      <x:c r="C19" s="11" t="n">
        <x:v>3</x:v>
      </x:c>
    </x:row>
    <x:row r="20">
      <x:c r="A20" s="11" t="str">
        <x:v>ORD-004</x:v>
      </x:c>
      <x:c r="B20" s="11" t="str">
        <x:v>COM-001</x:v>
      </x:c>
      <x:c r="C20" s="11" t="n">
        <x:v>26</x:v>
      </x:c>
    </x:row>
    <x:row r="21">
      <x:c r="A21" s="11" t="str">
        <x:v>ORD-004</x:v>
      </x:c>
      <x:c r="B21" s="11" t="str">
        <x:v>COM-002</x:v>
      </x:c>
      <x:c r="C21" s="11" t="n">
        <x:v>10</x:v>
      </x:c>
    </x:row>
    <x:row r="22">
      <x:c r="A22" s="11" t="str">
        <x:v>ORD-004</x:v>
      </x:c>
      <x:c r="B22" s="11" t="str">
        <x:v>COM-003</x:v>
      </x:c>
      <x:c r="C22" s="11" t="n">
        <x:v>22</x:v>
      </x:c>
    </x:row>
    <x:row r="23">
      <x:c r="A23" s="11" t="str">
        <x:v>ORD-004</x:v>
      </x:c>
      <x:c r="B23" s="11" t="str">
        <x:v>COM-005</x:v>
      </x:c>
      <x:c r="C23" s="11" t="n">
        <x:v>14</x:v>
      </x:c>
    </x:row>
    <x:row r="24">
      <x:c r="A24" s="11" t="str">
        <x:v>ORD-004</x:v>
      </x:c>
      <x:c r="B24" s="11" t="str">
        <x:v>COM-006</x:v>
      </x:c>
      <x:c r="C24" s="11" t="n">
        <x:v>7</x:v>
      </x:c>
    </x:row>
    <x:row r="25">
      <x:c r="A25" s="11" t="str">
        <x:v>ORD-004</x:v>
      </x:c>
      <x:c r="B25" s="11" t="str">
        <x:v>COM-009</x:v>
      </x:c>
      <x:c r="C25" s="11" t="n">
        <x:v>9</x:v>
      </x:c>
    </x:row>
    <x:row r="26">
      <x:c r="A26" s="11" t="str">
        <x:v>ORD-004</x:v>
      </x:c>
      <x:c r="B26" s="11" t="str">
        <x:v>COM-010</x:v>
      </x:c>
      <x:c r="C26" s="11" t="n">
        <x:v>2</x:v>
      </x:c>
    </x:row>
    <x:row r="27">
      <x:c r="A27" s="11" t="str">
        <x:v>ORD-005</x:v>
      </x:c>
      <x:c r="B27" s="11" t="str">
        <x:v>COM-003</x:v>
      </x:c>
      <x:c r="C27" s="11" t="n">
        <x:v>8</x:v>
      </x:c>
    </x:row>
    <x:row r="28">
      <x:c r="A28" s="11" t="str">
        <x:v>ORD-005</x:v>
      </x:c>
      <x:c r="B28" s="11" t="str">
        <x:v>COM-004</x:v>
      </x:c>
      <x:c r="C28" s="11" t="n">
        <x:v>6</x:v>
      </x:c>
    </x:row>
    <x:row r="29">
      <x:c r="A29" s="11" t="str">
        <x:v>ORD-005</x:v>
      </x:c>
      <x:c r="B29" s="11" t="str">
        <x:v>COM-006</x:v>
      </x:c>
      <x:c r="C29" s="11" t="n">
        <x:v>5</x:v>
      </x:c>
    </x:row>
    <x:row r="30">
      <x:c r="A30" s="11" t="str">
        <x:v>ORD-005</x:v>
      </x:c>
      <x:c r="B30" s="11" t="str">
        <x:v>COM-009</x:v>
      </x:c>
      <x:c r="C30" s="11" t="n">
        <x:v>6</x:v>
      </x:c>
    </x:row>
    <x:row r="31">
      <x:c r="A31" s="11" t="str">
        <x:v>ORD-006</x:v>
      </x:c>
      <x:c r="B31" s="11" t="str">
        <x:v>COM-001</x:v>
      </x:c>
      <x:c r="C31" s="11" t="n">
        <x:v>8</x:v>
      </x:c>
    </x:row>
    <x:row r="32">
      <x:c r="A32" s="11" t="str">
        <x:v>ORD-006</x:v>
      </x:c>
      <x:c r="B32" s="11" t="str">
        <x:v>COM-007</x:v>
      </x:c>
      <x:c r="C32" s="11" t="n">
        <x:v>2</x:v>
      </x:c>
    </x:row>
    <x:row r="33">
      <x:c r="A33" s="11" t="str">
        <x:v>ORD-006</x:v>
      </x:c>
      <x:c r="B33" s="11" t="str">
        <x:v>COM-008</x:v>
      </x:c>
      <x:c r="C33" s="11" t="n">
        <x:v>18</x:v>
      </x:c>
    </x:row>
    <x:row r="34">
      <x:c r="A34" s="11" t="str">
        <x:v>ORD-006</x:v>
      </x:c>
      <x:c r="B34" s="11" t="str">
        <x:v>COM-009</x:v>
      </x:c>
      <x:c r="C34" s="11" t="n">
        <x:v>4</x:v>
      </x:c>
    </x:row>
    <x:row r="35">
      <x:c r="A35" s="11" t="str">
        <x:v>ORD-007</x:v>
      </x:c>
      <x:c r="B35" s="11" t="str">
        <x:v>COM-001</x:v>
      </x:c>
      <x:c r="C35" s="11" t="n">
        <x:v>18</x:v>
      </x:c>
    </x:row>
    <x:row r="36">
      <x:c r="A36" s="11" t="str">
        <x:v>ORD-007</x:v>
      </x:c>
      <x:c r="B36" s="11" t="str">
        <x:v>COM-002</x:v>
      </x:c>
      <x:c r="C36" s="11" t="n">
        <x:v>7</x:v>
      </x:c>
    </x:row>
    <x:row r="37">
      <x:c r="A37" s="11" t="str">
        <x:v>ORD-007</x:v>
      </x:c>
      <x:c r="B37" s="11" t="str">
        <x:v>COM-003</x:v>
      </x:c>
      <x:c r="C37" s="11" t="n">
        <x:v>15</x:v>
      </x:c>
    </x:row>
    <x:row r="38">
      <x:c r="A38" s="11" t="str">
        <x:v>ORD-007</x:v>
      </x:c>
      <x:c r="B38" s="11" t="str">
        <x:v>COM-005</x:v>
      </x:c>
      <x:c r="C38" s="11" t="n">
        <x:v>10</x:v>
      </x:c>
    </x:row>
    <x:row r="39">
      <x:c r="A39" s="11" t="str">
        <x:v>ORD-007</x:v>
      </x:c>
      <x:c r="B39" s="11" t="str">
        <x:v>COM-006</x:v>
      </x:c>
      <x:c r="C39" s="11" t="n">
        <x:v>5</x:v>
      </x:c>
    </x:row>
    <x:row r="40">
      <x:c r="A40" s="11" t="str">
        <x:v>ORD-007</x:v>
      </x:c>
      <x:c r="B40" s="11" t="str">
        <x:v>COM-009</x:v>
      </x:c>
      <x:c r="C40" s="11" t="n">
        <x:v>7</x:v>
      </x:c>
    </x:row>
    <x:row r="41">
      <x:c r="A41" s="11" t="str">
        <x:v>ORD-007</x:v>
      </x:c>
      <x:c r="B41" s="11" t="str">
        <x:v>COM-010</x:v>
      </x:c>
      <x:c r="C41" s="11" t="n">
        <x:v>2</x:v>
      </x:c>
    </x:row>
    <x:row r="42">
      <x:c r="A42" s="11" t="str">
        <x:v>ORD-008</x:v>
      </x:c>
      <x:c r="B42" s="11" t="str">
        <x:v>COM-001</x:v>
      </x:c>
      <x:c r="C42" s="11" t="n">
        <x:v>6</x:v>
      </x:c>
    </x:row>
    <x:row r="43">
      <x:c r="A43" s="11" t="str">
        <x:v>ORD-008</x:v>
      </x:c>
      <x:c r="B43" s="11" t="str">
        <x:v>COM-004</x:v>
      </x:c>
      <x:c r="C43" s="11" t="n">
        <x:v>4</x:v>
      </x:c>
    </x:row>
    <x:row r="44">
      <x:c r="A44" s="11" t="str">
        <x:v>ORD-008</x:v>
      </x:c>
      <x:c r="B44" s="11" t="str">
        <x:v>COM-008</x:v>
      </x:c>
      <x:c r="C44" s="11" t="n">
        <x:v>20</x:v>
      </x:c>
    </x:row>
    <x:row r="45">
      <x:c r="A45" s="11" t="str">
        <x:v>ORD-008</x:v>
      </x:c>
      <x:c r="B45" s="11" t="str">
        <x:v>COM-009</x:v>
      </x:c>
      <x:c r="C45" s="11" t="n">
        <x:v>5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e18964f574464e8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4" customHeight="1">
      <x:c r="A1" s="21" t="str">
        <x:v>Furniture Operations Dashboard — Starter Model</x:v>
      </x:c>
    </x:row>
    <x:row r="3">
      <x:c r="A3" s="23" t="str">
        <x:v>This first version separates material and component costs. Later, Python will calculate them automatically from usage tables.</x:v>
      </x:c>
      <x:c r="B3" t="str">
        <x:v>This first version separates material and component costs. Later, Python will calculate them automatically from usage tables.</x:v>
      </x:c>
      <x:c r="C3" t="str">
        <x:v>This first version separates material and component costs. Later, Python will calculate them automatically from usage tables.</x:v>
      </x:c>
      <x:c r="D3" t="str">
        <x:v>This first version separates material and component costs. Later, Python will calculate them automatically from usage tables.</x:v>
      </x:c>
      <x:c r="E3" t="str">
        <x:v>This first version separates material and component costs. Later, Python will calculate them automatically from usage tables.</x:v>
      </x:c>
      <x:c r="F3" t="str">
        <x:v>This first version separates material and component costs. Later, Python will calculate them automatically from usage tables.</x:v>
      </x:c>
      <x:c r="G3" t="str">
        <x:v>This first version separates material and component costs. Later, Python will calculate them automatically from usage tables.</x:v>
      </x:c>
      <x:c r="H3" t="str">
        <x:v>This first version separates material and component costs. Later, Python will calculate them automatically from usage tables.</x:v>
      </x:c>
    </x:row>
    <x:row r="5">
      <x:c r="A5" s="16" t="str">
        <x:v>KPI</x:v>
      </x:c>
      <x:c r="B5" s="16" t="str">
        <x:v>Value</x:v>
      </x:c>
      <x:c r="D5" s="16" t="str">
        <x:v>Inventory</x:v>
      </x:c>
      <x:c r="E5" s="16" t="str">
        <x:v>Value</x:v>
      </x:c>
      <x:c r="G5" s="16" t="str">
        <x:v>Labour assumptions</x:v>
      </x:c>
      <x:c r="H5" s="16" t="str">
        <x:v>Rate</x:v>
      </x:c>
    </x:row>
    <x:row r="6">
      <x:c r="A6" s="11" t="str">
        <x:v>Orders</x:v>
      </x:c>
      <x:c r="B6" s="11" t="n">
        <x:f>COUNTA('Orders'!A4:A11)</x:f>
        <x:v>8</x:v>
      </x:c>
      <x:c r="D6" s="11" t="str">
        <x:v>Materials items</x:v>
      </x:c>
      <x:c r="E6" s="11" t="n">
        <x:f>COUNTA('Materials'!A4:A13)</x:f>
        <x:v>10</x:v>
      </x:c>
      <x:c r="G6" s="11" t="str">
        <x:v>Production / hour</x:v>
      </x:c>
      <x:c r="H6" s="19" t="n">
        <x:f>'Labour Rates'!B4</x:f>
        <x:v>30</x:v>
      </x:c>
    </x:row>
    <x:row r="7">
      <x:c r="A7" s="11" t="str">
        <x:v>Revenue</x:v>
      </x:c>
      <x:c r="B7" s="18" t="n">
        <x:f>SUM('Orders'!F4:F11)</x:f>
        <x:v>66300</x:v>
      </x:c>
      <x:c r="D7" s="11" t="str">
        <x:v>Components items</x:v>
      </x:c>
      <x:c r="E7" s="11" t="n">
        <x:f>COUNTA('Components'!A4:A13)</x:f>
        <x:v>10</x:v>
      </x:c>
      <x:c r="G7" s="11" t="str">
        <x:v>Installation / hour</x:v>
      </x:c>
      <x:c r="H7" s="19" t="n">
        <x:f>'Labour Rates'!B5</x:f>
        <x:v>35</x:v>
      </x:c>
    </x:row>
    <x:row r="8">
      <x:c r="A8" s="11" t="str">
        <x:v>Production hours</x:v>
      </x:c>
      <x:c r="B8" s="11" t="n">
        <x:f>SUM('Orders'!G4:G11)</x:f>
        <x:v>256</x:v>
      </x:c>
      <x:c r="D8" s="11" t="str">
        <x:v>Materials stock value</x:v>
      </x:c>
      <x:c r="E8" s="18" t="n">
        <x:f>SUMPRODUCT('Materials'!E4:E13,'Materials'!F4:F13)</x:f>
        <x:v>19311.199999999997</x:v>
      </x:c>
    </x:row>
    <x:row r="9">
      <x:c r="A9" s="11" t="str">
        <x:v>Installation hours</x:v>
      </x:c>
      <x:c r="B9" s="11" t="n">
        <x:f>SUM('Orders'!H4:H11)</x:f>
        <x:v>87</x:v>
      </x:c>
      <x:c r="D9" s="11" t="str">
        <x:v>Components stock value</x:v>
      </x:c>
      <x:c r="E9" s="18" t="n">
        <x:f>SUMPRODUCT('Components'!E4:E13,'Components'!F4:F13)</x:f>
        <x:v>7661.5</x:v>
      </x:c>
    </x:row>
    <x:row r="10">
      <x:c r="A10" s="11" t="str">
        <x:v>Repeat visits</x:v>
      </x:c>
      <x:c r="B10" s="11" t="n">
        <x:f>SUM('Orders'!J4:J11)</x:f>
        <x:v>2</x:v>
      </x:c>
      <x:c r="D10" s="11" t="str">
        <x:v>Low materials stock</x:v>
      </x:c>
      <x:c r="E10" s="11" t="n">
        <x:f>COUNTIF('Materials'!F4:F13,"&lt;="&amp;'Materials'!G4:G13)</x:f>
        <x:v>0</x:v>
      </x:c>
    </x:row>
    <x:row r="11">
      <x:c r="A11" s="11" t="str">
        <x:v>Delayed orders</x:v>
      </x:c>
      <x:c r="B11" s="11" t="n">
        <x:f>COUNTIF('Orders'!E4:E11,"Delayed")</x:f>
        <x:v>1</x:v>
      </x:c>
      <x:c r="D11" s="11" t="str">
        <x:v>Low components stock</x:v>
      </x:c>
      <x:c r="E11" s="11" t="n">
        <x:f>COUNTIF('Components'!F4:F13,"&lt;="&amp;'Components'!G4:G13)</x:f>
        <x:v>0</x:v>
      </x:c>
    </x:row>
    <x:row r="14">
      <x:c r="A14" s="16" t="str">
        <x:v>Next coding task</x:v>
      </x:c>
      <x:c r="B14" s="16" t="str">
        <x:v>Why it matters</x:v>
      </x:c>
      <x:c r="C14" s="16" t="str">
        <x:v>Input</x:v>
      </x:c>
      <x:c r="D14" s="16" t="str">
        <x:v>Output</x:v>
      </x:c>
    </x:row>
    <x:row r="15">
      <x:c r="A15" s="11" t="str">
        <x:v>Material cost</x:v>
      </x:c>
      <x:c r="B15" s="11" t="str">
        <x:v>Per order</x:v>
      </x:c>
      <x:c r="C15" s="11" t="str">
        <x:v>Usage + catalog</x:v>
      </x:c>
      <x:c r="D15" s="11" t="str">
        <x:v>Cost by order</x:v>
      </x:c>
    </x:row>
    <x:row r="16">
      <x:c r="A16" s="11" t="str">
        <x:v>Component cost</x:v>
      </x:c>
      <x:c r="B16" s="11" t="str">
        <x:v>Per order</x:v>
      </x:c>
      <x:c r="C16" s="11" t="str">
        <x:v>Usage + catalog</x:v>
      </x:c>
      <x:c r="D16" s="11" t="str">
        <x:v>Cost by order</x:v>
      </x:c>
    </x:row>
  </x:sheetData>
  <x:mergeCells>
    <x:mergeCell ref="A1:H1"/>
    <x:mergeCell ref="A3:H3"/>
  </x:mergeCells>
  <x:pageMargins left="0.7" right="0.7" top="0.75" bottom="0.75" header="0.3" footer="0.3"/>
</x:worksheet>
</file>